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7dfa34b8c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月核销" sheetId="1" r:id="Rd0f42ccbc38a4676"/>
  </x:sheets>
  <x:calcPr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@"/>
  </x:numFmts>
  <x:fonts count="4">
    <x:font>
      <x:sz val="11"/>
      <x:name val="Carlito"/>
    </x:font>
    <x:font>
      <x:sz val="11"/>
      <x:name val="Microsoft YaHei"/>
    </x:font>
    <x:font>
      <x:b/>
      <x:sz val="17"/>
      <x:color rgb="FF254E56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E5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d726315c5453c" /><Relationship Type="http://schemas.openxmlformats.org/officeDocument/2006/relationships/theme" Target="/xl/theme/theme1.xml" Id="Rf4c70356cf8444ff" /><Relationship Type="http://schemas.openxmlformats.org/officeDocument/2006/relationships/sharedStrings" Target="/xl/sharedStrings.xml" Id="R80e5b5f17cb14bb9" /><Relationship Type="http://schemas.openxmlformats.org/officeDocument/2006/relationships/worksheet" Target="/xl/worksheets/sheet1.xml" Id="Rd0f42ccbc38a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7" hidden="0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2026年9月合同回款核销表（CNY）</x:v>
      </x:c>
      <x:c r="B2" s="1"/>
      <x:c r="C2" s="1"/>
      <x:c r="D2" s="1"/>
      <x:c r="E2" s="1"/>
      <x:c r="F2" s="1"/>
      <x:c r="G2" s="1"/>
      <x:c r="H2" s="1"/>
      <x:c r="I2" s="1"/>
    </x:row>
    <x:row r="3" ht="27" customHeight="1">
      <x:c r="A3" s="1"/>
      <x:c r="B3" s="1"/>
      <x:c r="C3" s="1"/>
      <x:c r="D3" s="1" t="str">
        <x:v>应收合计</x:v>
      </x:c>
      <x:c r="E3" s="1"/>
      <x:c r="F3" s="1" t="str">
        <x:v>实收合计</x:v>
      </x:c>
      <x:c r="G3" s="1"/>
      <x:c r="H3" s="1" t="str">
        <x:v>实收减应收</x:v>
      </x:c>
      <x:c r="I3" s="1"/>
    </x:row>
    <x:row r="4" ht="27" customHeight="1">
      <x:c r="A4" s="1"/>
      <x:c r="B4" s="1"/>
      <x:c r="C4" s="1"/>
      <x:c r="D4" s="1"/>
      <x:c r="E4" s="5" t="n">
        <x:f>SUM(E9:E20)</x:f>
      </x:c>
      <x:c r="F4" s="1"/>
      <x:c r="G4" s="5" t="n">
        <x:f>SUM(G9:G20)</x:f>
      </x:c>
      <x:c r="H4" s="1"/>
      <x:c r="I4" s="5" t="n">
        <x:f>G4-E4</x:f>
      </x:c>
    </x:row>
    <x:row r="5" ht="27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7" customHeight="1">
      <x:c r="A6" s="1" t="str">
        <x:v>明细填报区：第9至20行；单位人民币元；备注和公式复核列保留。</x:v>
      </x:c>
      <x:c r="B6" s="1"/>
      <x:c r="C6" s="1"/>
      <x:c r="D6" s="1"/>
      <x:c r="E6" s="1"/>
      <x:c r="F6" s="1"/>
      <x:c r="G6" s="1"/>
      <x:c r="H6" s="1"/>
      <x:c r="I6" s="1"/>
    </x:row>
    <x:row r="7" ht="27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4" t="str">
        <x:v>备注（保留）</x:v>
      </x:c>
      <x:c r="B8" s="4" t="str">
        <x:v>客户名称</x:v>
      </x:c>
      <x:c r="C8" s="4" t="str">
        <x:v>合同编号</x:v>
      </x:c>
      <x:c r="D8" s="4" t="str">
        <x:v>公式复核</x:v>
      </x:c>
      <x:c r="E8" s="4" t="str">
        <x:v>应收净额</x:v>
      </x:c>
      <x:c r="F8" s="4" t="str">
        <x:v>间隔列</x:v>
      </x:c>
      <x:c r="G8" s="4" t="str">
        <x:v>实收金额</x:v>
      </x:c>
      <x:c r="H8" s="4" t="str">
        <x:v>差额</x:v>
      </x:c>
      <x:c r="I8" s="4" t="str">
        <x:v>核销状态</x:v>
      </x:c>
    </x:row>
    <x:row r="9" ht="27" customHeight="1">
      <x:c r="A9" s="1" t="str">
        <x:v>模板固定备注</x:v>
      </x:c>
      <x:c r="B9" s="1" t="inlineStr">
        <x:is>
          <x:t xml:space="preserve">青禾工坊</x:t>
        </x:is>
      </x:c>
      <x:c r="C9" s="6" t="inlineStr">
        <x:is>
          <x:t xml:space="preserve">RV-2609-001</x:t>
        </x:is>
      </x:c>
      <x:c r="D9" s="5" t="n">
        <x:f>IF(AND(ISNUMBER(E9),ISNUMBER(G9)),G9-E9,"")</x:f>
      </x:c>
      <x:c r="E9" s="5">
        <x:v>1280.35</x:v>
      </x:c>
      <x:c r="F9" s="1"/>
      <x:c r="G9" s="5">
        <x:v>1280.35</x:v>
      </x:c>
      <x:c r="H9" s="5">
        <x:v>0.00</x:v>
      </x:c>
      <x:c r="I9" s="1" t="str">
        <x:v>matched</x:v>
      </x:c>
    </x:row>
    <x:row r="10" ht="27" customHeight="1">
      <x:c r="A10" s="1"/>
      <x:c r="B10" s="1" t="inlineStr">
        <x:is>
          <x:t xml:space="preserve">山海零售</x:t>
        </x:is>
      </x:c>
      <x:c r="C10" s="6" t="inlineStr">
        <x:is>
          <x:t xml:space="preserve">RV-2609-002</x:t>
        </x:is>
      </x:c>
      <x:c r="D10" s="5" t="str">
        <x:f>IF(AND(ISNUMBER(E10),ISNUMBER(G10)),G10-E10,"")</x:f>
      </x:c>
      <x:c r="E10" s="5">
        <x:v>980.50</x:v>
      </x:c>
      <x:c r="F10" s="1"/>
      <x:c r="G10" s="5">
        <x:v>975.50</x:v>
      </x:c>
      <x:c r="H10" s="5">
        <x:v>-5.00</x:v>
      </x:c>
      <x:c r="I10" s="1" t="inlineStr">
        <x:is>
          <x:t xml:space="preserve">amount-difference</x:t>
        </x:is>
      </x:c>
    </x:row>
    <x:row r="11" ht="27" customHeight="1">
      <x:c r="A11" s="1"/>
      <x:c r="B11" s="1" t="inlineStr">
        <x:is>
          <x:t xml:space="preserve">免费试用客户</x:t>
        </x:is>
      </x:c>
      <x:c r="C11" s="6" t="inlineStr">
        <x:is>
          <x:t xml:space="preserve">RV-2609-003</x:t>
        </x:is>
      </x:c>
      <x:c r="D11" s="5" t="str">
        <x:f>IF(AND(ISNUMBER(E11),ISNUMBER(G11)),G11-E11,"")</x:f>
      </x:c>
      <x:c r="E11" s="5">
        <x:v>0.00</x:v>
      </x:c>
      <x:c r="F11" s="1"/>
      <x:c r="G11" s="5">
        <x:v>0.00</x:v>
      </x:c>
      <x:c r="H11" s="5">
        <x:v>0.00</x:v>
      </x:c>
      <x:c r="I11" s="1" t="inlineStr">
        <x:is>
          <x:t xml:space="preserve">matched</x:t>
        </x:is>
      </x:c>
    </x:row>
    <x:row r="12" ht="27" customHeight="1">
      <x:c r="A12" s="1"/>
      <x:c r="B12" s="1" t="inlineStr">
        <x:is>
          <x:t xml:space="preserve">远帆设备</x:t>
        </x:is>
      </x:c>
      <x:c r="C12" s="6" t="inlineStr">
        <x:is>
          <x:t xml:space="preserve">RV-2609-004</x:t>
        </x:is>
      </x:c>
      <x:c r="D12" s="5" t="str">
        <x:f>IF(AND(ISNUMBER(E12),ISNUMBER(G12)),G12-E12,"")</x:f>
      </x:c>
      <x:c r="E12" s="5">
        <x:v>350.20</x:v>
      </x:c>
      <x:c r="F12" s="1"/>
      <x:c r="G12" s="5"/>
      <x:c r="H12" s="5"/>
      <x:c r="I12" s="1" t="inlineStr">
        <x:is>
          <x:t xml:space="preserve">missing-settlement</x:t>
        </x:is>
      </x:c>
    </x:row>
    <x:row r="13" ht="27" customHeight="1">
      <x:c r="A13" s="1"/>
      <x:c r="B13" s="1" t="inlineStr">
        <x:is>
          <x:t xml:space="preserve">退款客户</x:t>
        </x:is>
      </x:c>
      <x:c r="C13" s="6" t="inlineStr">
        <x:is>
          <x:t xml:space="preserve">RV-2609-005</x:t>
        </x:is>
      </x:c>
      <x:c r="D13" s="5" t="str">
        <x:f>IF(AND(ISNUMBER(E13),ISNUMBER(G13)),G13-E13,"")</x:f>
      </x:c>
      <x:c r="E13" s="5">
        <x:v>-25.75</x:v>
      </x:c>
      <x:c r="F13" s="1"/>
      <x:c r="G13" s="5">
        <x:v>-25.75</x:v>
      </x:c>
      <x:c r="H13" s="5">
        <x:v>0.00</x:v>
      </x:c>
      <x:c r="I13" s="1" t="inlineStr">
        <x:is>
          <x:t xml:space="preserve">matched</x:t>
        </x:is>
      </x:c>
    </x:row>
    <x:row r="14" ht="27" customHeight="1">
      <x:c r="A14" s="1"/>
      <x:c r="B14" s="1" t="inlineStr">
        <x:is>
          <x:t xml:space="preserve">一分差额客户</x:t>
        </x:is>
      </x:c>
      <x:c r="C14" s="6" t="inlineStr">
        <x:is>
          <x:t xml:space="preserve">RV-2609-006</x:t>
        </x:is>
      </x:c>
      <x:c r="D14" s="5" t="str">
        <x:f>IF(AND(ISNUMBER(E14),ISNUMBER(G14)),G14-E14,"")</x:f>
      </x:c>
      <x:c r="E14" s="5">
        <x:v>84.10</x:v>
      </x:c>
      <x:c r="F14" s="1"/>
      <x:c r="G14" s="5">
        <x:v>84.11</x:v>
      </x:c>
      <x:c r="H14" s="5">
        <x:v>0.01</x:v>
      </x:c>
      <x:c r="I14" s="1" t="inlineStr">
        <x:is>
          <x:t xml:space="preserve">amount-difference</x:t>
        </x:is>
      </x:c>
    </x:row>
    <x:row r="15" ht="27" customHeight="1">
      <x:c r="A15" s="1"/>
      <x:c r="B15" s="1" t="inlineStr">
        <x:is>
          <x:t xml:space="preserve">空格编号客户</x:t>
        </x:is>
      </x:c>
      <x:c r="C15" s="6" t="inlineStr">
        <x:is>
          <x:t xml:space="preserve">RV-2609-007</x:t>
        </x:is>
      </x:c>
      <x:c r="D15" s="5" t="str">
        <x:f>IF(AND(ISNUMBER(E15),ISNUMBER(G15)),G15-E15,"")</x:f>
      </x:c>
      <x:c r="E15" s="5">
        <x:v>125.00</x:v>
      </x:c>
      <x:c r="F15" s="1"/>
      <x:c r="G15" s="5">
        <x:v>125.00</x:v>
      </x:c>
      <x:c r="H15" s="5">
        <x:v>0.00</x:v>
      </x:c>
      <x:c r="I15" s="1" t="inlineStr">
        <x:is>
          <x:t xml:space="preserve">matched</x:t>
        </x:is>
      </x:c>
    </x:row>
    <x:row r="16" ht="27" customHeight="1">
      <x:c r="A16" s="1"/>
      <x:c r="B16" s="1" t="inlineStr">
        <x:is>
          <x:t xml:space="preserve"/>
        </x:is>
      </x:c>
      <x:c r="C16" s="6" t="inlineStr">
        <x:is>
          <x:t xml:space="preserve">RV-2609-008</x:t>
        </x:is>
      </x:c>
      <x:c r="D16" s="5" t="str">
        <x:f>IF(AND(ISNUMBER(E16),ISNUMBER(G16)),G16-E16,"")</x:f>
      </x:c>
      <x:c r="E16" s="5"/>
      <x:c r="F16" s="1"/>
      <x:c r="G16" s="5">
        <x:v>90.30</x:v>
      </x:c>
      <x:c r="H16" s="5"/>
      <x:c r="I16" s="1" t="inlineStr">
        <x:is>
          <x:t xml:space="preserve">missing-order</x:t>
        </x:is>
      </x:c>
    </x:row>
    <x:row r="17" ht="27" customHeight="1">
      <x:c r="A17" s="1"/>
      <x:c r="B17" s="1"/>
      <x:c r="C17" s="6"/>
      <x:c r="D17" s="5" t="str">
        <x:f>IF(AND(ISNUMBER(E17),ISNUMBER(G17)),G17-E17,"")</x:f>
      </x:c>
      <x:c r="E17" s="5"/>
      <x:c r="F17" s="1"/>
      <x:c r="G17" s="5"/>
      <x:c r="H17" s="5"/>
      <x:c r="I17" s="1"/>
    </x:row>
    <x:row r="18" ht="27" customHeight="1">
      <x:c r="A18" s="1"/>
      <x:c r="B18" s="1"/>
      <x:c r="C18" s="6"/>
      <x:c r="D18" s="5" t="str">
        <x:f>IF(AND(ISNUMBER(E18),ISNUMBER(G18)),G18-E18,"")</x:f>
      </x:c>
      <x:c r="E18" s="5"/>
      <x:c r="F18" s="1"/>
      <x:c r="G18" s="5"/>
      <x:c r="H18" s="5"/>
      <x:c r="I18" s="1"/>
    </x:row>
    <x:row r="19" ht="27" customHeight="1">
      <x:c r="A19" s="1"/>
      <x:c r="B19" s="1"/>
      <x:c r="C19" s="6"/>
      <x:c r="D19" s="5" t="str">
        <x:f>IF(AND(ISNUMBER(E19),ISNUMBER(G19)),G19-E19,"")</x:f>
      </x:c>
      <x:c r="E19" s="5"/>
      <x:c r="F19" s="1"/>
      <x:c r="G19" s="5"/>
      <x:c r="H19" s="5"/>
      <x:c r="I19" s="1"/>
    </x:row>
    <x:row r="20" ht="27" customHeight="1">
      <x:c r="A20" s="1"/>
      <x:c r="B20" s="1"/>
      <x:c r="C20" s="6"/>
      <x:c r="D20" s="5" t="str">
        <x:f>IF(AND(ISNUMBER(E20),ISNUMBER(G20)),G20-E20,"")</x:f>
      </x:c>
      <x:c r="E20" s="5"/>
      <x:c r="F20" s="1"/>
      <x:c r="G20" s="5"/>
      <x:c r="H20" s="5"/>
      <x:c r="I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7" customHeight="1">
      <x:c r="A22" s="1" t="str">
        <x:v>模板页脚：保留合并区域与公式；异常需单独复核。</x:v>
      </x:c>
      <x:c r="B22" s="1"/>
      <x:c r="C22" s="1"/>
      <x:c r="D22" s="1"/>
      <x:c r="E22" s="1"/>
      <x:c r="F22" s="1"/>
      <x:c r="G22" s="1"/>
      <x:c r="H22" s="1"/>
      <x:c r="I22" s="1"/>
    </x:row>
  </x:sheetData>
  <x:mergeCells>
    <x:mergeCell ref="A2:I2"/>
    <x:mergeCell ref="A6:I6"/>
    <x:mergeCell ref="A22:I22"/>
  </x:mergeCells>
  <x:pageMargins left="0.7" right="0.7" top="0.75" bottom="0.75" header="0.3" footer="0.3"/>
</x:worksheet>
</file>